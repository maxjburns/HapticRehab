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<sst xmlns="http://schemas.openxmlformats.org/spreadsheetml/2006/main" count="28" uniqueCount="19">
  <si>
    <t>Component</t>
  </si>
  <si>
    <t>Number</t>
  </si>
  <si>
    <t>Unit Cost</t>
  </si>
  <si>
    <t>Cost</t>
  </si>
  <si>
    <t>Hapkit Board</t>
  </si>
  <si>
    <t>N/A</t>
  </si>
  <si>
    <t>Arduino Uno Proto Shield</t>
  </si>
  <si>
    <t>Vibration Motors</t>
  </si>
  <si>
    <t>Yukomo SP-02D V2 Servo</t>
  </si>
  <si>
    <t>Hobby Car Tire</t>
  </si>
  <si>
    <t>Aluminum Servo Adaptor</t>
  </si>
  <si>
    <t>Calf Vibration Strut</t>
  </si>
  <si>
    <t>Shin Vibration Strut</t>
  </si>
  <si>
    <t>Servo Shin Strut</t>
  </si>
  <si>
    <t>Assorted Wires</t>
  </si>
  <si>
    <t>Velcro Straps</t>
  </si>
  <si>
    <t>Electrical Tape</t>
  </si>
  <si>
    <t>Red Stickers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</si>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</sst>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>
        <v>1.0</v>
      </c>
      <c r="C2" s="3" t="s">
        <v>5</v>
      </c>
      <c r="D2" s="3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>
        <v>1.0</v>
      </c>
      <c r="C3" s="4">
        <v>7.79</v>
      </c>
      <c r="D3" s="5">
        <f t="shared" ref="D3:D7" si="1">B3*C3</f>
        <v>7.79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7</v>
      </c>
      <c r="B4" s="3">
        <v>12.0</v>
      </c>
      <c r="C4" s="5">
        <f>12.99/15</f>
        <v>0.866</v>
      </c>
      <c r="D4" s="5">
        <f t="shared" si="1"/>
        <v>10.392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>
        <v>1.0</v>
      </c>
      <c r="C5" s="6">
        <v>74.99</v>
      </c>
      <c r="D5" s="5">
        <f t="shared" si="1"/>
        <v>74.99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3">
        <v>1.0</v>
      </c>
      <c r="C6" s="6">
        <v>10.0</v>
      </c>
      <c r="D6" s="5">
        <f t="shared" si="1"/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10</v>
      </c>
      <c r="B7" s="3">
        <v>1.0</v>
      </c>
      <c r="C7" s="6">
        <v>2.5</v>
      </c>
      <c r="D7" s="5">
        <f t="shared" si="1"/>
        <v>2.5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11</v>
      </c>
      <c r="B8" s="3">
        <v>1.0</v>
      </c>
      <c r="C8" s="3" t="s">
        <v>5</v>
      </c>
      <c r="D8" s="3" t="s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>
        <v>1.0</v>
      </c>
      <c r="C9" s="3" t="s">
        <v>5</v>
      </c>
      <c r="D9" s="3" t="s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13</v>
      </c>
      <c r="B10" s="3">
        <v>1.0</v>
      </c>
      <c r="C10" s="3" t="s">
        <v>5</v>
      </c>
      <c r="D10" s="3" t="s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14</v>
      </c>
      <c r="B11" s="3">
        <v>20.0</v>
      </c>
      <c r="C11" s="6">
        <f>6.98/120</f>
        <v>0.05816666667</v>
      </c>
      <c r="D11" s="6">
        <f t="shared" ref="D11:D12" si="2">B11*C11</f>
        <v>1.163333333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15</v>
      </c>
      <c r="B12" s="3">
        <v>3.0</v>
      </c>
      <c r="C12" s="6">
        <f>12.79 / 3</f>
        <v>4.263333333</v>
      </c>
      <c r="D12" s="5">
        <f t="shared" si="2"/>
        <v>12.79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16</v>
      </c>
      <c r="B13" s="3">
        <v>1.0</v>
      </c>
      <c r="C13" s="3" t="s">
        <v>5</v>
      </c>
      <c r="D13" s="3" t="s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17</v>
      </c>
      <c r="B14" s="3">
        <v>40.0</v>
      </c>
      <c r="C14" s="5">
        <f>9.14/1400</f>
        <v>0.006528571429</v>
      </c>
      <c r="D14" s="5">
        <f>B14*C14</f>
        <v>0.2611428571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7"/>
      <c r="C15" s="5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18</v>
      </c>
      <c r="B16" s="7"/>
      <c r="C16" s="5"/>
      <c r="D16" s="5">
        <f>SUM(D2:D13)</f>
        <v>119.6253333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8"/>
      <c r="D17" s="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8"/>
      <c r="D18" s="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8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8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8"/>
      <c r="D21" s="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